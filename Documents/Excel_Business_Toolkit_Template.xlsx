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 activeTab="1"/>
  </bookViews>
  <sheets>
    <sheet sheetId="1" name="Data" state="visible" r:id="rId4"/>
    <sheet sheetId="2" name="Dashboard" state="visible" r:id="rId5"/>
    <sheet sheetId="3" name="Inventory" state="visible" r:id="rId6"/>
    <sheet sheetId="4" name="Invoices" state="visible" r:id="rId7"/>
    <sheet sheetId="5" name="InvoiceItems" state="visible" r:id="rId8"/>
    <sheet sheetId="6" name="Feasibility" state="visible" r:id="rId9"/>
    <sheet sheetId="7" name="Settings" state="visible" r:id="rId10"/>
  </sheets>
  <calcPr calcId="171027"/>
</workbook>
</file>

<file path=xl/sharedStrings.xml><?xml version="1.0" encoding="utf-8"?>
<sst xmlns="http://schemas.openxmlformats.org/spreadsheetml/2006/main" count="183" uniqueCount="115">
  <si>
    <t>Date</t>
  </si>
  <si>
    <t>Category</t>
  </si>
  <si>
    <t>Amount</t>
  </si>
  <si>
    <t>Notes</t>
  </si>
  <si>
    <t>Electronics</t>
  </si>
  <si>
    <t>Sample 1</t>
  </si>
  <si>
    <t>Groceries</t>
  </si>
  <si>
    <t>Sample 2</t>
  </si>
  <si>
    <t>Home</t>
  </si>
  <si>
    <t>Sample 3</t>
  </si>
  <si>
    <t>Accessories</t>
  </si>
  <si>
    <t>Sample 4</t>
  </si>
  <si>
    <t>Services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</si>
  <si>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</si>
  <si>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</si>
  <si>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</si>
  <si>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</si>
  <si>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</si>
  <si>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</si>
  <si>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</si>
  <si>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</si>
  <si>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</si>
  <si>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</si>
  <si>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</si>
  <si>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</si>
  <si>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</si>
  <si>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</si>
  <si>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</si>
  <si>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</si>
  <si>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</si>
  <si>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</si>
  <si>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</si>
  <si>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</si>
  <si>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</si>
  <si>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</si>
  <si>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</si>
  <si>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</si>
  <si>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</si>
  <si>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</si>
  <si>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</si>
  <si>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</si>
  <si>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</si>
  <si>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</si>
  <si>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</si>
  <si>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</si>
  <si>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</si>
  <si>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</si>
  <si>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</si>
  <si>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</si>
  <si>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</si>
  <si>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</si>
  <si>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</si>
  <si>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</si>
  <si>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</si>
  <si>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</si>
  <si>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</si>
  <si>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</si>
  <si>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</si>
  <si>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</si>
  <si>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</si>
  <si>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</si>
  <si>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</si>
  <si>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</si>
  <si>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</si>
  <si>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</si>
  <si>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</si>
  <si>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</si>
  <si>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</si>
  <si>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</si>
  <si>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Excel Business Toolkit – KPIs</t>
  </si>
  <si>
    <t>Total Amount</t>
  </si>
  <si>
    <t>KPIs</t>
  </si>
  <si>
    <t>By Category</t>
  </si>
  <si>
    <t>By Month (Current Year)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</si>
  <si>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</si>
  <si>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</si>
  <si>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</si>
  <si>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</si>
  <si>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</si>
  <si>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</si>
  <si>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</si>
  <si>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</si>
  <si>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</si>
  <si>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</si>
  <si>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</si>
  <si>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</si>
  <si>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</si>
  <si>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serial</t>
  </si>
  <si>
    <t>sku</t>
  </si>
  <si>
    <t>name</t>
  </si>
  <si>
    <t>category</t>
  </si>
  <si>
    <t>cost</t>
  </si>
  <si>
    <t>price</t>
  </si>
  <si>
    <t>qty</t>
  </si>
  <si>
    <t>reorderPoint</t>
  </si>
  <si>
    <t>barcode</t>
  </si>
  <si>
    <t>PRD-1718</t>
  </si>
  <si>
    <t>SKU-0001</t>
  </si>
  <si>
    <t>test</t>
  </si>
  <si>
    <t>tool</t>
  </si>
  <si>
    <t>capital</t>
  </si>
  <si>
    <t>fixed</t>
  </si>
  <si>
    <t>variable</t>
  </si>
  <si>
    <t>monthlyUnits</t>
  </si>
  <si>
    <t>horizonYears</t>
  </si>
  <si>
    <t>monthlyRevenue</t>
  </si>
  <si>
    <t>monthlyProfit</t>
  </si>
  <si>
    <t>annualRevenue</t>
  </si>
  <si>
    <t>annualProfit</t>
  </si>
  <si>
    <t>ROI</t>
  </si>
  <si>
    <t>breakEvenMonths</t>
  </si>
  <si>
    <t>Key</t>
  </si>
  <si>
    <t>Value</t>
  </si>
  <si>
    <t>AutoSaveSeconds</t>
  </si>
  <si>
    <t>TaxRate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</si>
</sst>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_-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3"/>
    </font>
    <font>
      <b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f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Table" displayName="DataTable" ref="A1:D61" totalsRowShown="1" headerRowCount="0">
  <autoFilter ref="A1:D61">
    <filterColumn colId="0" hiddenButton="1"/>
    <filterColumn colId="1" hiddenButton="1"/>
    <filterColumn colId="2" hiddenButton="1"/>
    <filterColumn colId="3" hiddenButton="1"/>
  </autoFilter>
  <tableColumns count="4">
    <tableColumn id="1" name="Date"/>
    <tableColumn id="2" name="Category"/>
    <tableColumn id="3" name="Amount"/>
    <tableColumn id="4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.45" customHeight="1"/>
  <cols>
    <col min="1" max="1" width="14" customWidth="1"/>
    <col min="2" max="2" width="2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45658</v>
      </c>
      <c r="B2" t="s">
        <v>4</v>
      </c>
      <c r="C2" s="3">
        <v>50</v>
      </c>
      <c r="D2" t="s">
        <v>5</v>
      </c>
    </row>
    <row r="3" spans="1:4" x14ac:dyDescent="0.25">
      <c r="A3" s="2">
        <v>45663</v>
      </c>
      <c r="B3" t="s">
        <v>6</v>
      </c>
      <c r="C3" s="3">
        <v>80</v>
      </c>
      <c r="D3" t="s">
        <v>7</v>
      </c>
    </row>
    <row r="4" spans="1:4" x14ac:dyDescent="0.25">
      <c r="A4" s="2">
        <v>45668</v>
      </c>
      <c r="B4" t="s">
        <v>8</v>
      </c>
      <c r="C4" s="3">
        <v>110</v>
      </c>
      <c r="D4" t="s">
        <v>9</v>
      </c>
    </row>
    <row r="5" spans="1:4" x14ac:dyDescent="0.25">
      <c r="A5" s="2">
        <v>45673</v>
      </c>
      <c r="B5" t="s">
        <v>10</v>
      </c>
      <c r="C5" s="3">
        <v>140</v>
      </c>
      <c r="D5" t="s">
        <v>11</v>
      </c>
    </row>
    <row r="6" spans="1:4" x14ac:dyDescent="0.25">
      <c r="A6" s="2">
        <v>45678</v>
      </c>
      <c r="B6" t="s">
        <v>12</v>
      </c>
      <c r="C6" s="3">
        <v>170</v>
      </c>
      <c r="D6" t="s">
        <v>13</v>
      </c>
    </row>
    <row r="7" spans="1:4" x14ac:dyDescent="0.25">
      <c r="A7" s="2">
        <v>45683</v>
      </c>
      <c r="B7" t="s">
        <v>4</v>
      </c>
      <c r="C7" s="3">
        <v>85</v>
      </c>
      <c r="D7" t="s">
        <v>14</v>
      </c>
    </row>
    <row r="8" spans="1:4" x14ac:dyDescent="0.25">
      <c r="A8" s="2">
        <v>45688</v>
      </c>
      <c r="B8" t="s">
        <v>6</v>
      </c>
      <c r="C8" s="3">
        <v>115</v>
      </c>
      <c r="D8" t="s">
        <v>15</v>
      </c>
    </row>
    <row r="9" spans="1:4" x14ac:dyDescent="0.25">
      <c r="A9" s="2">
        <v>45693</v>
      </c>
      <c r="B9" t="s">
        <v>8</v>
      </c>
      <c r="C9" s="3">
        <v>145</v>
      </c>
      <c r="D9" t="s">
        <v>16</v>
      </c>
    </row>
    <row r="10" spans="1:4" x14ac:dyDescent="0.25">
      <c r="A10" s="2">
        <v>45698</v>
      </c>
      <c r="B10" t="s">
        <v>10</v>
      </c>
      <c r="C10" s="3">
        <v>175</v>
      </c>
      <c r="D10" t="s">
        <v>17</v>
      </c>
    </row>
    <row r="11" spans="1:4" x14ac:dyDescent="0.25">
      <c r="A11" s="2">
        <v>45703</v>
      </c>
      <c r="B11" t="s">
        <v>12</v>
      </c>
      <c r="C11" s="3">
        <v>205</v>
      </c>
      <c r="D11" t="s">
        <v>18</v>
      </c>
    </row>
    <row r="12" spans="1:4" x14ac:dyDescent="0.25">
      <c r="A12" s="2">
        <v>45708</v>
      </c>
      <c r="B12" t="s">
        <v>4</v>
      </c>
      <c r="C12" s="3">
        <v>120</v>
      </c>
      <c r="D12" t="s">
        <v>19</v>
      </c>
    </row>
    <row r="13" spans="1:4" x14ac:dyDescent="0.25">
      <c r="A13" s="2">
        <v>45713</v>
      </c>
      <c r="B13" t="s">
        <v>6</v>
      </c>
      <c r="C13" s="3">
        <v>150</v>
      </c>
      <c r="D13" t="s">
        <v>20</v>
      </c>
    </row>
    <row r="14" spans="1:4" x14ac:dyDescent="0.25">
      <c r="A14" s="2">
        <v>45718</v>
      </c>
      <c r="B14" t="s">
        <v>8</v>
      </c>
      <c r="C14" s="3">
        <v>180</v>
      </c>
      <c r="D14" t="s">
        <v>21</v>
      </c>
    </row>
    <row r="15" spans="1:4" x14ac:dyDescent="0.25">
      <c r="A15" s="2">
        <v>45723</v>
      </c>
      <c r="B15" t="s">
        <v>10</v>
      </c>
      <c r="C15" s="3">
        <v>210</v>
      </c>
      <c r="D15" t="s">
        <v>22</v>
      </c>
    </row>
    <row r="16" spans="1:4" x14ac:dyDescent="0.25">
      <c r="A16" s="2">
        <v>45728</v>
      </c>
      <c r="B16" t="s">
        <v>12</v>
      </c>
      <c r="C16" s="3">
        <v>240</v>
      </c>
      <c r="D16" t="s">
        <v>23</v>
      </c>
    </row>
    <row r="17" spans="1:4" x14ac:dyDescent="0.25">
      <c r="A17" s="2">
        <v>45733</v>
      </c>
      <c r="B17" t="s">
        <v>4</v>
      </c>
      <c r="C17" s="3">
        <v>155</v>
      </c>
      <c r="D17" t="s">
        <v>24</v>
      </c>
    </row>
    <row r="18" spans="1:4" x14ac:dyDescent="0.25">
      <c r="A18" s="2">
        <v>45738</v>
      </c>
      <c r="B18" t="s">
        <v>6</v>
      </c>
      <c r="C18" s="3">
        <v>185</v>
      </c>
      <c r="D18" t="s">
        <v>25</v>
      </c>
    </row>
    <row r="19" spans="1:4" x14ac:dyDescent="0.25">
      <c r="A19" s="2">
        <v>45743</v>
      </c>
      <c r="B19" t="s">
        <v>8</v>
      </c>
      <c r="C19" s="3">
        <v>215</v>
      </c>
      <c r="D19" t="s">
        <v>26</v>
      </c>
    </row>
    <row r="20" spans="1:4" x14ac:dyDescent="0.25">
      <c r="A20" s="2">
        <v>45748</v>
      </c>
      <c r="B20" t="s">
        <v>10</v>
      </c>
      <c r="C20" s="3">
        <v>245</v>
      </c>
      <c r="D20" t="s">
        <v>27</v>
      </c>
    </row>
    <row r="21" spans="1:4" x14ac:dyDescent="0.25">
      <c r="A21" s="2">
        <v>45753</v>
      </c>
      <c r="B21" t="s">
        <v>12</v>
      </c>
      <c r="C21" s="3">
        <v>275</v>
      </c>
      <c r="D21" t="s">
        <v>28</v>
      </c>
    </row>
    <row r="22" spans="1:4" x14ac:dyDescent="0.25">
      <c r="A22" s="2">
        <v>45758</v>
      </c>
      <c r="B22" t="s">
        <v>4</v>
      </c>
      <c r="C22" s="3">
        <v>190</v>
      </c>
      <c r="D22" t="s">
        <v>29</v>
      </c>
    </row>
    <row r="23" spans="1:4" x14ac:dyDescent="0.25">
      <c r="A23" s="2">
        <v>45763</v>
      </c>
      <c r="B23" t="s">
        <v>6</v>
      </c>
      <c r="C23" s="3">
        <v>220</v>
      </c>
      <c r="D23" t="s">
        <v>30</v>
      </c>
    </row>
    <row r="24" spans="1:4" x14ac:dyDescent="0.25">
      <c r="A24" s="2">
        <v>45768</v>
      </c>
      <c r="B24" t="s">
        <v>8</v>
      </c>
      <c r="C24" s="3">
        <v>250</v>
      </c>
      <c r="D24" t="s">
        <v>31</v>
      </c>
    </row>
    <row r="25" spans="1:4" x14ac:dyDescent="0.25">
      <c r="A25" s="2">
        <v>45773</v>
      </c>
      <c r="B25" t="s">
        <v>10</v>
      </c>
      <c r="C25" s="3">
        <v>280</v>
      </c>
      <c r="D25" t="s">
        <v>32</v>
      </c>
    </row>
    <row r="26" spans="1:4" x14ac:dyDescent="0.25">
      <c r="A26" s="2">
        <v>45778</v>
      </c>
      <c r="B26" t="s">
        <v>12</v>
      </c>
      <c r="C26" s="3">
        <v>310</v>
      </c>
      <c r="D26" t="s">
        <v>33</v>
      </c>
    </row>
    <row r="27" spans="1:4" x14ac:dyDescent="0.25">
      <c r="A27" s="2">
        <v>45783</v>
      </c>
      <c r="B27" t="s">
        <v>4</v>
      </c>
      <c r="C27" s="3">
        <v>225</v>
      </c>
      <c r="D27" t="s">
        <v>34</v>
      </c>
    </row>
    <row r="28" spans="1:4" x14ac:dyDescent="0.25">
      <c r="A28" s="2">
        <v>45788</v>
      </c>
      <c r="B28" t="s">
        <v>6</v>
      </c>
      <c r="C28" s="3">
        <v>255</v>
      </c>
      <c r="D28" t="s">
        <v>35</v>
      </c>
    </row>
    <row r="29" spans="1:4" x14ac:dyDescent="0.25">
      <c r="A29" s="2">
        <v>45793</v>
      </c>
      <c r="B29" t="s">
        <v>8</v>
      </c>
      <c r="C29" s="3">
        <v>285</v>
      </c>
      <c r="D29" t="s">
        <v>36</v>
      </c>
    </row>
    <row r="30" spans="1:4" x14ac:dyDescent="0.25">
      <c r="A30" s="2">
        <v>45798</v>
      </c>
      <c r="B30" t="s">
        <v>10</v>
      </c>
      <c r="C30" s="3">
        <v>315</v>
      </c>
      <c r="D30" t="s">
        <v>37</v>
      </c>
    </row>
    <row r="31" spans="1:4" x14ac:dyDescent="0.25">
      <c r="A31" s="2">
        <v>45803</v>
      </c>
      <c r="B31" t="s">
        <v>12</v>
      </c>
      <c r="C31" s="3">
        <v>345</v>
      </c>
      <c r="D31" t="s">
        <v>38</v>
      </c>
    </row>
    <row r="32" spans="1:4" x14ac:dyDescent="0.25">
      <c r="A32" s="2">
        <v>45808</v>
      </c>
      <c r="B32" t="s">
        <v>4</v>
      </c>
      <c r="C32" s="3">
        <v>260</v>
      </c>
      <c r="D32" t="s">
        <v>39</v>
      </c>
    </row>
    <row r="33" spans="1:4" x14ac:dyDescent="0.25">
      <c r="A33" s="2">
        <v>45813</v>
      </c>
      <c r="B33" t="s">
        <v>6</v>
      </c>
      <c r="C33" s="3">
        <v>290</v>
      </c>
      <c r="D33" t="s">
        <v>40</v>
      </c>
    </row>
    <row r="34" spans="1:4" x14ac:dyDescent="0.25">
      <c r="A34" s="2">
        <v>45818</v>
      </c>
      <c r="B34" t="s">
        <v>8</v>
      </c>
      <c r="C34" s="3">
        <v>320</v>
      </c>
      <c r="D34" t="s">
        <v>41</v>
      </c>
    </row>
    <row r="35" spans="1:4" x14ac:dyDescent="0.25">
      <c r="A35" s="2">
        <v>45823</v>
      </c>
      <c r="B35" t="s">
        <v>10</v>
      </c>
      <c r="C35" s="3">
        <v>350</v>
      </c>
      <c r="D35" t="s">
        <v>42</v>
      </c>
    </row>
    <row r="36" spans="1:4" x14ac:dyDescent="0.25">
      <c r="A36" s="2">
        <v>45828</v>
      </c>
      <c r="B36" t="s">
        <v>12</v>
      </c>
      <c r="C36" s="3">
        <v>380</v>
      </c>
      <c r="D36" t="s">
        <v>43</v>
      </c>
    </row>
    <row r="37" spans="1:4" x14ac:dyDescent="0.25">
      <c r="A37" s="2">
        <v>45833</v>
      </c>
      <c r="B37" t="s">
        <v>4</v>
      </c>
      <c r="C37" s="3">
        <v>295</v>
      </c>
      <c r="D37" t="s">
        <v>44</v>
      </c>
    </row>
    <row r="38" spans="1:4" x14ac:dyDescent="0.25">
      <c r="A38" s="2">
        <v>45838</v>
      </c>
      <c r="B38" t="s">
        <v>6</v>
      </c>
      <c r="C38" s="3">
        <v>325</v>
      </c>
      <c r="D38" t="s">
        <v>45</v>
      </c>
    </row>
    <row r="39" spans="1:4" x14ac:dyDescent="0.25">
      <c r="A39" s="2">
        <v>45843</v>
      </c>
      <c r="B39" t="s">
        <v>8</v>
      </c>
      <c r="C39" s="3">
        <v>355</v>
      </c>
      <c r="D39" t="s">
        <v>46</v>
      </c>
    </row>
    <row r="40" spans="1:4" x14ac:dyDescent="0.25">
      <c r="A40" s="2">
        <v>45848</v>
      </c>
      <c r="B40" t="s">
        <v>10</v>
      </c>
      <c r="C40" s="3">
        <v>385</v>
      </c>
      <c r="D40" t="s">
        <v>47</v>
      </c>
    </row>
    <row r="41" spans="1:4" x14ac:dyDescent="0.25">
      <c r="A41" s="2">
        <v>45853</v>
      </c>
      <c r="B41" t="s">
        <v>12</v>
      </c>
      <c r="C41" s="3">
        <v>415</v>
      </c>
      <c r="D41" t="s">
        <v>48</v>
      </c>
    </row>
    <row r="42" spans="1:4" x14ac:dyDescent="0.25">
      <c r="A42" s="2">
        <v>45858</v>
      </c>
      <c r="B42" t="s">
        <v>4</v>
      </c>
      <c r="C42" s="3">
        <v>330</v>
      </c>
      <c r="D42" t="s">
        <v>49</v>
      </c>
    </row>
    <row r="43" spans="1:4" x14ac:dyDescent="0.25">
      <c r="A43" s="2">
        <v>45863</v>
      </c>
      <c r="B43" t="s">
        <v>6</v>
      </c>
      <c r="C43" s="3">
        <v>360</v>
      </c>
      <c r="D43" t="s">
        <v>50</v>
      </c>
    </row>
    <row r="44" spans="1:4" x14ac:dyDescent="0.25">
      <c r="A44" s="2">
        <v>45868</v>
      </c>
      <c r="B44" t="s">
        <v>8</v>
      </c>
      <c r="C44" s="3">
        <v>390</v>
      </c>
      <c r="D44" t="s">
        <v>51</v>
      </c>
    </row>
    <row r="45" spans="1:4" x14ac:dyDescent="0.25">
      <c r="A45" s="2">
        <v>45873</v>
      </c>
      <c r="B45" t="s">
        <v>10</v>
      </c>
      <c r="C45" s="3">
        <v>420</v>
      </c>
      <c r="D45" t="s">
        <v>52</v>
      </c>
    </row>
    <row r="46" spans="1:4" x14ac:dyDescent="0.25">
      <c r="A46" s="2">
        <v>45878</v>
      </c>
      <c r="B46" t="s">
        <v>12</v>
      </c>
      <c r="C46" s="3">
        <v>450</v>
      </c>
      <c r="D46" t="s">
        <v>53</v>
      </c>
    </row>
    <row r="47" spans="1:4" x14ac:dyDescent="0.25">
      <c r="A47" s="2">
        <v>45883</v>
      </c>
      <c r="B47" t="s">
        <v>4</v>
      </c>
      <c r="C47" s="3">
        <v>365</v>
      </c>
      <c r="D47" t="s">
        <v>54</v>
      </c>
    </row>
    <row r="48" spans="1:4" x14ac:dyDescent="0.25">
      <c r="A48" s="2">
        <v>45888</v>
      </c>
      <c r="B48" t="s">
        <v>6</v>
      </c>
      <c r="C48" s="3">
        <v>395</v>
      </c>
      <c r="D48" t="s">
        <v>55</v>
      </c>
    </row>
    <row r="49" spans="1:4" x14ac:dyDescent="0.25">
      <c r="A49" s="2">
        <v>45893</v>
      </c>
      <c r="B49" t="s">
        <v>8</v>
      </c>
      <c r="C49" s="3">
        <v>425</v>
      </c>
      <c r="D49" t="s">
        <v>56</v>
      </c>
    </row>
    <row r="50" spans="1:4" x14ac:dyDescent="0.25">
      <c r="A50" s="2">
        <v>45898</v>
      </c>
      <c r="B50" t="s">
        <v>10</v>
      </c>
      <c r="C50" s="3">
        <v>455</v>
      </c>
      <c r="D50" t="s">
        <v>57</v>
      </c>
    </row>
    <row r="51" spans="1:4" x14ac:dyDescent="0.25">
      <c r="A51" s="2">
        <v>45903</v>
      </c>
      <c r="B51" t="s">
        <v>12</v>
      </c>
      <c r="C51" s="3">
        <v>485</v>
      </c>
      <c r="D51" t="s">
        <v>58</v>
      </c>
    </row>
    <row r="52" spans="1:4" x14ac:dyDescent="0.25">
      <c r="A52" s="2">
        <v>45908</v>
      </c>
      <c r="B52" t="s">
        <v>4</v>
      </c>
      <c r="C52" s="3">
        <v>400</v>
      </c>
      <c r="D52" t="s">
        <v>59</v>
      </c>
    </row>
    <row r="53" spans="1:4" x14ac:dyDescent="0.25">
      <c r="A53" s="2">
        <v>45913</v>
      </c>
      <c r="B53" t="s">
        <v>6</v>
      </c>
      <c r="C53" s="3">
        <v>430</v>
      </c>
      <c r="D53" t="s">
        <v>60</v>
      </c>
    </row>
    <row r="54" spans="1:4" x14ac:dyDescent="0.25">
      <c r="A54" s="2">
        <v>45918</v>
      </c>
      <c r="B54" t="s">
        <v>8</v>
      </c>
      <c r="C54" s="3">
        <v>460</v>
      </c>
      <c r="D54" t="s">
        <v>61</v>
      </c>
    </row>
    <row r="55" spans="1:4" x14ac:dyDescent="0.25">
      <c r="A55" s="2">
        <v>45923</v>
      </c>
      <c r="B55" t="s">
        <v>10</v>
      </c>
      <c r="C55" s="3">
        <v>490</v>
      </c>
      <c r="D55" t="s">
        <v>62</v>
      </c>
    </row>
    <row r="56" spans="1:4" x14ac:dyDescent="0.25">
      <c r="A56" s="2">
        <v>45928</v>
      </c>
      <c r="B56" t="s">
        <v>12</v>
      </c>
      <c r="C56" s="3">
        <v>520</v>
      </c>
      <c r="D56" t="s">
        <v>63</v>
      </c>
    </row>
    <row r="57" spans="1:4" x14ac:dyDescent="0.25">
      <c r="A57" s="2">
        <v>45933</v>
      </c>
      <c r="B57" t="s">
        <v>4</v>
      </c>
      <c r="C57" s="3">
        <v>435</v>
      </c>
      <c r="D57" t="s">
        <v>64</v>
      </c>
    </row>
    <row r="58" spans="1:4" x14ac:dyDescent="0.25">
      <c r="A58" s="2">
        <v>45938</v>
      </c>
      <c r="B58" t="s">
        <v>6</v>
      </c>
      <c r="C58" s="3">
        <v>465</v>
      </c>
      <c r="D58" t="s">
        <v>65</v>
      </c>
    </row>
    <row r="59" spans="1:4" x14ac:dyDescent="0.25">
      <c r="A59" s="2">
        <v>45943</v>
      </c>
      <c r="B59" t="s">
        <v>8</v>
      </c>
      <c r="C59" s="3">
        <v>495</v>
      </c>
      <c r="D59" t="s">
        <v>66</v>
      </c>
    </row>
    <row r="60" spans="1:4" x14ac:dyDescent="0.25">
      <c r="A60" s="2">
        <v>45948</v>
      </c>
      <c r="B60" t="s">
        <v>10</v>
      </c>
      <c r="C60" s="3">
        <v>525</v>
      </c>
      <c r="D60" t="s">
        <v>67</v>
      </c>
    </row>
    <row r="61" spans="1:4" x14ac:dyDescent="0.25">
      <c r="A61" s="2">
        <v>45953</v>
      </c>
      <c r="B61" t="s">
        <v>12</v>
      </c>
      <c r="C61" s="3">
        <v>555</v>
      </c>
      <c r="D61" t="s">
        <v>68</v>
      </c>
    </row>
  </sheetData>
  <conditionalFormatting sqref="C2:C61">
    <cfRule type="cellIs" dxfId="0" priority="1" operator="greaterThan">
      <formula>AVERAGE(C2:C1048576)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showGridLines="0" zoomScale="100" zoomScaleNormal="100">
      <selection activeCell="G6" sqref="G6"/>
    </sheetView>
  </sheetViews>
  <sheetFormatPr defaultRowHeight="14.25" outlineLevelRow="0" outlineLevelCol="0" x14ac:dyDescent="0.45" customHeight="1"/>
  <cols>
    <col min="1" max="1" width="28" customWidth="1"/>
    <col min="2" max="2" width="18" customWidth="1"/>
    <col min="4" max="4" width="18" customWidth="1"/>
    <col min="5" max="5" width="16" customWidth="1"/>
    <col min="7" max="7" width="20.1328125" customWidth="1"/>
  </cols>
  <sheetData>
    <row r="1" spans="1:1" s="4" customFormat="1" x14ac:dyDescent="0.25">
      <c r="A1" s="5" t="s">
        <v>69</v>
      </c>
    </row>
    <row r="2" spans="1:2" x14ac:dyDescent="0.25">
      <c r="A2" t="s">
        <v>70</v>
      </c>
      <c r="B2">
        <v>18150</v>
      </c>
    </row>
    <row r="3" spans="1:1" x14ac:dyDescent="0.25">
      <c r="A3" s="5" t="s">
        <v>71</v>
      </c>
    </row>
    <row r="4" spans="1:2" x14ac:dyDescent="0.25">
      <c r="A4" s="6" t="s">
        <v>72</v>
      </c>
      <c r="B4" s="3">
        <f>SUM(Data!C:C)</f>
        <v>18150</v>
      </c>
    </row>
    <row r="5" spans="1:2" s="7" customFormat="1" x14ac:dyDescent="0.25">
      <c r="A5" s="7" t="s">
        <v>1</v>
      </c>
      <c r="B5" s="7" t="s">
        <v>2</v>
      </c>
    </row>
    <row r="6" spans="1:7" x14ac:dyDescent="0.25">
      <c r="A6" s="5" t="s">
        <v>4</v>
      </c>
      <c r="B6">
        <v>2910</v>
      </c>
      <c r="G6" s="5" t="s">
        <v>73</v>
      </c>
    </row>
    <row r="7" spans="1:8" x14ac:dyDescent="0.25">
      <c r="A7" s="5" t="s">
        <v>6</v>
      </c>
      <c r="B7" s="5">
        <v>3270</v>
      </c>
      <c r="G7" s="5" t="s">
        <v>74</v>
      </c>
      <c r="H7" s="5" t="s">
        <v>2</v>
      </c>
    </row>
    <row r="8" spans="1:8" x14ac:dyDescent="0.25">
      <c r="A8" t="s">
        <v>8</v>
      </c>
      <c r="B8" s="3">
        <v>3630</v>
      </c>
      <c r="G8" t="s">
        <v>75</v>
      </c>
      <c r="H8" s="3">
        <f>SUMIFS(Data!C:C, Data!A:A, "&gt;="&amp;DATE(YEAR(TODAY()), 1, 1), Data!A:A, "&lt;"&amp;EDATE(DATE(YEAR(TODAY()), 1, 1), 1))</f>
        <v>750</v>
      </c>
    </row>
    <row r="9" spans="1:8" x14ac:dyDescent="0.25">
      <c r="A9" t="s">
        <v>10</v>
      </c>
      <c r="B9" s="3">
        <v>3990</v>
      </c>
      <c r="G9" t="s">
        <v>76</v>
      </c>
      <c r="H9" s="3">
        <f>SUMIFS(Data!C:C, Data!A:A, "&gt;="&amp;DATE(YEAR(TODAY()), 2, 1), Data!A:A, "&lt;"&amp;EDATE(DATE(YEAR(TODAY()), 2, 1), 1))</f>
        <v>795</v>
      </c>
    </row>
    <row r="10" spans="1:5" x14ac:dyDescent="0.25">
      <c r="A10" t="s">
        <v>12</v>
      </c>
      <c r="B10" s="3">
        <v>4350</v>
      </c>
      <c r="D10" t="s">
        <v>77</v>
      </c>
      <c r="E10" s="3">
        <f>SUMIFS(Data!C:C, Data!A:A, "&gt;="&amp;DATE(YEAR(TODAY()), 3, 1), Data!A:A, "&lt;"&amp;EDATE(DATE(YEAR(TODAY()), 3, 1), 1))</f>
        <v>1185</v>
      </c>
    </row>
    <row r="11" spans="1:5" x14ac:dyDescent="0.25">
      <c r="A11" t="s">
        <v>10</v>
      </c>
      <c r="B11" s="3">
        <f>SUMIF(Data!B:B, A11, Data!C:C)</f>
        <v>3990</v>
      </c>
      <c r="D11" t="s">
        <v>78</v>
      </c>
      <c r="E11" s="3">
        <f>SUMIFS(Data!C:C, Data!A:A, "&gt;="&amp;DATE(YEAR(TODAY()), 4, 1), Data!A:A, "&lt;"&amp;EDATE(DATE(YEAR(TODAY()), 4, 1), 1))</f>
        <v>1460</v>
      </c>
    </row>
    <row r="12" spans="1:5" x14ac:dyDescent="0.25">
      <c r="A12" t="s">
        <v>12</v>
      </c>
      <c r="B12" s="3">
        <f>SUMIF(Data!B:B, A12, Data!C:C)</f>
        <v>4350</v>
      </c>
      <c r="D12" t="s">
        <v>79</v>
      </c>
      <c r="E12" s="3">
        <f>SUMIFS(Data!C:C, Data!A:A, "&gt;="&amp;DATE(YEAR(TODAY()), 5, 1), Data!A:A, "&lt;"&amp;EDATE(DATE(YEAR(TODAY()), 5, 1), 1))</f>
        <v>1995</v>
      </c>
    </row>
    <row r="13" spans="4:5" x14ac:dyDescent="0.25">
      <c r="D13" t="s">
        <v>80</v>
      </c>
      <c r="E13" s="3">
        <f>SUMIFS(Data!C:C, Data!A:A, "&gt;="&amp;DATE(YEAR(TODAY()), 6, 1), Data!A:A, "&lt;"&amp;EDATE(DATE(YEAR(TODAY()), 6, 1), 1))</f>
        <v>1960</v>
      </c>
    </row>
    <row r="14" spans="4:5" x14ac:dyDescent="0.25">
      <c r="D14" t="s">
        <v>81</v>
      </c>
      <c r="E14" s="3">
        <f>SUMIFS(Data!C:C, Data!A:A, "&gt;="&amp;DATE(YEAR(TODAY()), 7, 1), Data!A:A, "&lt;"&amp;EDATE(DATE(YEAR(TODAY()), 7, 1), 1))</f>
        <v>2235</v>
      </c>
    </row>
    <row r="15" spans="4:5" x14ac:dyDescent="0.25">
      <c r="D15" t="s">
        <v>82</v>
      </c>
      <c r="E15" s="3">
        <f>SUMIFS(Data!C:C, Data!A:A, "&gt;="&amp;DATE(YEAR(TODAY()), 8, 1), Data!A:A, "&lt;"&amp;EDATE(DATE(YEAR(TODAY()), 8, 1), 1))</f>
        <v>2510</v>
      </c>
    </row>
    <row r="16" spans="4:5" x14ac:dyDescent="0.25">
      <c r="D16" t="s">
        <v>83</v>
      </c>
      <c r="E16" s="3">
        <f>SUMIFS(Data!C:C, Data!A:A, "&gt;="&amp;DATE(YEAR(TODAY()), 9, 1), Data!A:A, "&lt;"&amp;EDATE(DATE(YEAR(TODAY()), 9, 1), 1))</f>
        <v>2785</v>
      </c>
    </row>
    <row r="17" spans="4:5" x14ac:dyDescent="0.25">
      <c r="D17" t="s">
        <v>84</v>
      </c>
      <c r="E17" s="3">
        <f>SUMIFS(Data!C:C, Data!A:A, "&gt;="&amp;DATE(YEAR(TODAY()), 10, 1), Data!A:A, "&lt;"&amp;EDATE(DATE(YEAR(TODAY()), 10, 1), 1))</f>
        <v>2475</v>
      </c>
    </row>
    <row r="18" spans="4:5" x14ac:dyDescent="0.25">
      <c r="D18" t="s">
        <v>85</v>
      </c>
      <c r="E18" s="3">
        <f>SUMIFS(Data!C:C, Data!A:A, "&gt;="&amp;DATE(YEAR(TODAY()), 11, 1), Data!A:A, "&lt;"&amp;EDATE(DATE(YEAR(TODAY()), 11, 1), 1))</f>
        <v>0</v>
      </c>
    </row>
    <row r="19" spans="4:5" x14ac:dyDescent="0.25">
      <c r="D19" t="s">
        <v>86</v>
      </c>
      <c r="E19" s="3">
        <f>SUMIFS(Data!C:C, Data!A:A, "&gt;="&amp;DATE(YEAR(TODAY()), 12, 1), Data!A:A, "&lt;"&amp;EDATE(DATE(YEAR(TODAY()), 12, 1), 1))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s="7" customFormat="1" x14ac:dyDescent="0.25">
      <c r="A1" s="7" t="s">
        <v>87</v>
      </c>
      <c r="B1" s="7" t="s">
        <v>88</v>
      </c>
      <c r="C1" s="7" t="s">
        <v>89</v>
      </c>
      <c r="D1" s="7" t="s">
        <v>90</v>
      </c>
      <c r="E1" s="7" t="s">
        <v>91</v>
      </c>
      <c r="F1" s="7" t="s">
        <v>92</v>
      </c>
      <c r="G1" s="7" t="s">
        <v>93</v>
      </c>
      <c r="H1" s="7" t="s">
        <v>94</v>
      </c>
      <c r="I1" s="7" t="s">
        <v>95</v>
      </c>
    </row>
    <row r="2" spans="1:9" x14ac:dyDescent="0.25">
      <c r="A2" t="s">
        <v>96</v>
      </c>
      <c r="B2" t="s">
        <v>97</v>
      </c>
      <c r="C2" t="s">
        <v>98</v>
      </c>
      <c r="D2" t="s">
        <v>99</v>
      </c>
      <c r="E2">
        <v>6</v>
      </c>
      <c r="F2">
        <v>10</v>
      </c>
      <c r="G2">
        <v>100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100</v>
      </c>
      <c r="B1">
        <v>20000</v>
      </c>
    </row>
    <row r="2" spans="1:2" x14ac:dyDescent="0.25">
      <c r="A2" t="s">
        <v>91</v>
      </c>
      <c r="B2">
        <v>20000</v>
      </c>
    </row>
    <row r="3" spans="1:2" x14ac:dyDescent="0.25">
      <c r="A3" t="s">
        <v>92</v>
      </c>
      <c r="B3">
        <v>30000</v>
      </c>
    </row>
    <row r="4" spans="1:2" x14ac:dyDescent="0.25">
      <c r="A4" t="s">
        <v>101</v>
      </c>
      <c r="B4">
        <v>1500</v>
      </c>
    </row>
    <row r="5" spans="1:2" x14ac:dyDescent="0.25">
      <c r="A5" t="s">
        <v>102</v>
      </c>
      <c r="B5">
        <v>10</v>
      </c>
    </row>
    <row r="6" spans="1:2" x14ac:dyDescent="0.25">
      <c r="A6" t="s">
        <v>103</v>
      </c>
      <c r="B6">
        <v>100</v>
      </c>
    </row>
    <row r="7" spans="1:2" x14ac:dyDescent="0.25">
      <c r="A7" t="s">
        <v>104</v>
      </c>
      <c r="B7">
        <v>1</v>
      </c>
    </row>
    <row r="8" spans="1:2" x14ac:dyDescent="0.25">
      <c r="A8" t="s">
        <v>105</v>
      </c>
      <c r="B8">
        <v>3000000</v>
      </c>
    </row>
    <row r="9" spans="1:2" x14ac:dyDescent="0.25">
      <c r="A9" t="s">
        <v>106</v>
      </c>
      <c r="B9">
        <v>997500</v>
      </c>
    </row>
    <row r="10" spans="1:2" x14ac:dyDescent="0.25">
      <c r="A10" t="s">
        <v>107</v>
      </c>
      <c r="B10">
        <v>36000000</v>
      </c>
    </row>
    <row r="11" spans="1:2" x14ac:dyDescent="0.25">
      <c r="A11" t="s">
        <v>108</v>
      </c>
      <c r="B11">
        <v>11970000</v>
      </c>
    </row>
    <row r="12" spans="1:2" x14ac:dyDescent="0.25">
      <c r="A12" t="s">
        <v>109</v>
      </c>
      <c r="B12">
        <v>598.5</v>
      </c>
    </row>
    <row r="13" spans="1:2" x14ac:dyDescent="0.25">
      <c r="A13" t="s">
        <v>110</v>
      </c>
      <c r="B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111</v>
      </c>
      <c r="B1" t="s">
        <v>112</v>
      </c>
    </row>
    <row r="2" spans="1:2" x14ac:dyDescent="0.25">
      <c r="A2" t="s">
        <v>113</v>
      </c>
      <c r="B2">
        <v>60</v>
      </c>
    </row>
    <row r="3" spans="1:2" x14ac:dyDescent="0.25">
      <c r="A3" t="s">
        <v>114</v>
      </c>
      <c r="B3">
        <v>0.15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Dashboard</vt:lpstr>
      <vt:lpstr>Inventory</vt:lpstr>
      <vt:lpstr>Invoices</vt:lpstr>
      <vt:lpstr>InvoiceItems</vt:lpstr>
      <vt:lpstr>Feasibility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Al-Otibi</cp:lastModifiedBy>
  <dcterms:created xsi:type="dcterms:W3CDTF">2025-10-27T12:05:02Z</dcterms:created>
  <dcterms:modified xsi:type="dcterms:W3CDTF">2025-10-27T12:08:07Z</dcterms:modified>
</cp:coreProperties>
</file>